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68BF76FC-F38D-4499-BF94-9D51301A08B2}" xr6:coauthVersionLast="47" xr6:coauthVersionMax="47" xr10:uidLastSave="{00000000-0000-0000-0000-000000000000}"/>
  <bookViews>
    <workbookView xWindow="-120" yWindow="-120" windowWidth="20730" windowHeight="11040" activeTab="3" xr2:uid="{5B3B1CD5-A4EF-4580-990D-95C2D837EA4F}"/>
  </bookViews>
  <sheets>
    <sheet name="ByHarun24HR" sheetId="1" r:id="rId1"/>
    <sheet name="Lambda" sheetId="2" r:id="rId2"/>
    <sheet name="EasyMethod" sheetId="3" r:id="rId3"/>
    <sheet name="Million_Billion" sheetId="4" r:id="rId4"/>
  </sheets>
  <definedNames>
    <definedName name="NumberToWords">_xlfn.LAMBDA(_xlpm.value,_xlfn.LET(_xlpm.x,_xlpm.value,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definedName>
    <definedName name="TAKAPOISA">_xlfn.LAMBDA(_xlpm.num,_xlfn.LET(_xlpm.x,_xlpm.num, _xlpm.cr,LEFT(TEXT(INT(_xlpm.x),"00000000000000"),7), _xlpm.lc,RIGHT(TEXT(INT(_xlpm.x),"00000000000000"),7),_xlpm.dec,ROUND(_xlpm.x-INT(_xlpm.x),2)*100,_xlpm.c,_xleta.CHOOSECOLS, _xlpm.digits,{"One","Two","Three","Four","Five","Six","Seven","Eight","Nine","Ten","Eleven","Twelve","Thirteen","Fourteen","Fifteen","Sixteen","Seventeen","Eighteen","Nineteen"}, _xlpm.Tenths,{"Ten","Twenty","Thirty","Fourty","Fifty","Sixty","Seventy","Eighty","Ninety","Hundred"}, _xlpm.LacCr,--MID(_xlpm.cr,1,2),_xlpm.HazarCr,--MID(_xlpm.cr,3,2),_xlpm.ShotoCr,--MID(_xlpm.cr,5,1),_xlpm.DosokCr,--MID(_xlpm.cr,6,2), _xlpm.lakh,--MID(_xlpm.lc,1,2),_xlpm.Hazar,--MID(_xlpm.lc,3,2),_xlpm.Shotok,--MID(_xlpm.lc,5,1),_xlpm.Dosok,--MID(_xlpm.lc,6,2), _xlpm.SPELL,_xlfn.LAMBDA(_xlpm.val,_xlpm.abr,IFERROR(IF(_xlpm.val&lt;20,_xlpm.c(_xlpm.digits,_xlpm.val) &amp; _xlpm.abr,_xlpm.c(_xlpm.Tenths,LEFT(_xlpm.val,1))&amp; IFERROR(" " &amp; _xlpm.c(_xlpm.digits,RIGHT(_xlpm.val,1)),"") &amp; _xlpm.abr),"")), _xlpm.Taka,_xlpm.SPELL(_xlpm.LacCr, " Lakh ") &amp; _xlpm.SPELL(_xlpm.HazarCr, " Thousand ") &amp; _xlpm.SPELL(_xlpm.ShotoCr, " Hundred ") &amp; _xlpm.SPELL(_xlpm.DosokCr,"") &amp; IF(--_xlpm.cr&gt;0," Crore ","") &amp; _xlpm.SPELL(_xlpm.lakh, " Lakh ") &amp; _xlpm.SPELL(_xlpm.Hazar, " Thousand ") &amp; _xlpm.SPELL(_xlpm.Shotok, " Hundred ") &amp; _xlpm.SPELL(_xlpm.Dosok,""), _xlpm.Poisa,IF(_xlpm.dec&lt;=0," Taka Only."," Taka And " &amp; _xlpm.SPELL(_xlpm.dec," Poisa Only.")),_xlpm.Taka &amp; _xlpm.Poisa))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4" l="1" a="1"/>
  <c r="C16" i="4" s="1"/>
  <c r="C3" i="4" a="1"/>
  <c r="C3" i="4" s="1"/>
  <c r="C4" i="4" a="1"/>
  <c r="C4" i="4" s="1"/>
  <c r="C5" i="4" a="1"/>
  <c r="C5" i="4"/>
  <c r="C6" i="4" a="1"/>
  <c r="C6" i="4" s="1"/>
  <c r="C7" i="4" a="1"/>
  <c r="C7" i="4" s="1"/>
  <c r="C8" i="4" a="1"/>
  <c r="C8" i="4" s="1"/>
  <c r="C9" i="4" a="1"/>
  <c r="C9" i="4" s="1"/>
  <c r="C10" i="4" a="1"/>
  <c r="C10" i="4" s="1"/>
  <c r="C11" i="4" a="1"/>
  <c r="C11" i="4" s="1"/>
  <c r="C12" i="4" a="1"/>
  <c r="C12" i="4" s="1"/>
  <c r="C13" i="4" a="1"/>
  <c r="C13" i="4" s="1"/>
  <c r="C14" i="4" a="1"/>
  <c r="C14" i="4" s="1"/>
  <c r="C15" i="4" a="1"/>
  <c r="C15" i="4" s="1"/>
  <c r="C2" i="4" a="1"/>
  <c r="C2" i="4" s="1"/>
  <c r="A3" i="4" l="1"/>
  <c r="A4" i="4"/>
  <c r="A5" i="4"/>
  <c r="A6" i="4"/>
  <c r="A7" i="4"/>
  <c r="A8" i="4"/>
  <c r="A9" i="4"/>
  <c r="A10" i="4"/>
  <c r="A11" i="4"/>
  <c r="A12" i="4"/>
  <c r="A13" i="4"/>
  <c r="A14" i="4"/>
  <c r="A15" i="4"/>
  <c r="A16" i="4"/>
  <c r="A2" i="4"/>
  <c r="K3" i="1" a="1"/>
  <c r="K3" i="1" s="1"/>
  <c r="E1" i="3" a="1"/>
  <c r="E1" i="3" s="1"/>
  <c r="G1" i="1" a="1"/>
  <c r="G1" i="1" s="1"/>
  <c r="G5" i="1" a="1"/>
  <c r="G5" i="1" s="1"/>
  <c r="P8" i="2" a="1"/>
  <c r="P8" i="2" s="1"/>
  <c r="P9" i="2" a="1"/>
  <c r="P9" i="2" s="1"/>
  <c r="P10" i="2" a="1"/>
  <c r="P10" i="2" s="1"/>
  <c r="P11" i="2" a="1"/>
  <c r="P11" i="2" s="1"/>
  <c r="P12" i="2" a="1"/>
  <c r="P12" i="2" s="1"/>
  <c r="P13" i="2" a="1"/>
  <c r="P13" i="2" s="1"/>
  <c r="P14" i="2" a="1"/>
  <c r="P14" i="2" s="1"/>
  <c r="P15" i="2" a="1"/>
  <c r="P15" i="2" s="1"/>
  <c r="P16" i="2" a="1"/>
  <c r="P16" i="2" s="1"/>
  <c r="P7" i="2" a="1"/>
  <c r="P7" i="2" s="1"/>
  <c r="D7" i="2" a="1"/>
  <c r="D7" i="2" s="1"/>
  <c r="D8" i="2" a="1"/>
  <c r="D8" i="2" s="1"/>
  <c r="D9" i="2" a="1"/>
  <c r="D9" i="2" s="1"/>
  <c r="D10" i="2" a="1"/>
  <c r="D10" i="2"/>
  <c r="D11" i="2" a="1"/>
  <c r="D11" i="2" s="1"/>
  <c r="D12" i="2" a="1"/>
  <c r="D12" i="2" s="1"/>
  <c r="D13" i="2" a="1"/>
  <c r="D13" i="2" s="1"/>
  <c r="D14" i="2" a="1"/>
  <c r="D14" i="2" s="1"/>
  <c r="D15" i="2" a="1"/>
  <c r="D15" i="2" s="1"/>
  <c r="D16" i="2" a="1"/>
  <c r="D16" i="2" s="1"/>
  <c r="D6" i="2" a="1"/>
  <c r="D6" i="2" s="1"/>
  <c r="C11" i="1" a="1"/>
  <c r="C11" i="1" s="1"/>
  <c r="C12" i="1" a="1"/>
  <c r="C12" i="1" s="1"/>
  <c r="C13" i="1" a="1"/>
  <c r="C13" i="1" s="1"/>
  <c r="C14" i="1" a="1"/>
  <c r="C14" i="1"/>
  <c r="C15" i="1" a="1"/>
  <c r="C15" i="1" s="1"/>
  <c r="C16" i="1" a="1"/>
  <c r="C16" i="1" s="1"/>
  <c r="C17" i="1" a="1"/>
  <c r="C17" i="1" s="1"/>
  <c r="C18" i="1" a="1"/>
  <c r="C18" i="1" s="1"/>
  <c r="C19" i="1" a="1"/>
  <c r="C19" i="1" s="1"/>
  <c r="C20" i="1" a="1"/>
  <c r="C20" i="1" s="1"/>
  <c r="C21" i="1" a="1"/>
  <c r="C21" i="1" s="1"/>
  <c r="C10" i="1" a="1"/>
  <c r="C10" i="1" s="1"/>
  <c r="G3" i="1" a="1"/>
  <c r="G3" i="1" s="1"/>
  <c r="G8" i="1" a="1"/>
  <c r="G8" i="1" s="1"/>
  <c r="G7" i="1" a="1"/>
  <c r="G7" i="1" s="1"/>
  <c r="D2" i="2" a="1"/>
  <c r="D2" i="2" s="1"/>
  <c r="D4" i="2" a="1"/>
  <c r="D4" i="2"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C2" i="1" a="1"/>
  <c r="C2" i="1" s="1"/>
  <c r="C1" i="1" a="1"/>
  <c r="C1" i="1" s="1"/>
  <c r="N1" i="1"/>
  <c r="M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<sst xmlns="http://schemas.openxmlformats.org/spreadsheetml/2006/main" count="10" uniqueCount="8">
  <si>
    <t>999999999999</t>
  </si>
  <si>
    <t>9999999999999</t>
  </si>
  <si>
    <t>Lambda</t>
  </si>
  <si>
    <t>Green one is perfect</t>
  </si>
  <si>
    <t>Simplified formula</t>
  </si>
  <si>
    <t>This is simplified version of green one</t>
  </si>
  <si>
    <t>99999999999999</t>
  </si>
  <si>
    <t>999999999999999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</si>
</sst>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quotePrefix="1" applyAlignment="1">
      <alignment horizontal="right"/>
    </xf>
    <xf numFmtId="0" fontId="0" fillId="2" borderId="0" xfId="0" applyFill="1"/>
    <xf numFmtId="2" fontId="0" fillId="0" borderId="0" xfId="0" applyNumberFormat="1"/>
    <xf numFmtId="0" fontId="0" fillId="3" borderId="0" xfId="0" applyFill="1"/>
    <xf numFmtId="0" fontId="0" fillId="4" borderId="0" xfId="0" applyFill="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8991F-A2DC-4083-B913-0A4CFC288DDC}">
  <dimension ref="A1:Q21"/>
  <sheetViews>
    <sheetView workbookViewId="0">
      <selection activeCell="K3" sqref="K3"/>
    </sheetView>
  </sheetViews>
  <sheetFormatPr defaultRowHeight="15" x14ac:dyDescent="0.25"/>
  <cols>
    <col min="1" max="1" width="14.7109375" bestFit="1" customWidth="1"/>
    <col min="2" max="2" width="18.140625" customWidth="1"/>
    <col min="3" max="3" width="3.5703125" customWidth="1"/>
    <col min="4" max="4" width="3.42578125" customWidth="1"/>
    <col min="5" max="5" width="2.85546875" customWidth="1"/>
    <col min="6" max="6" width="3.5703125" customWidth="1"/>
    <col min="11" max="11" width="28" bestFit="1" customWidth="1"/>
    <col min="15" max="15" width="11.28515625" customWidth="1"/>
  </cols>
  <sheetData>
    <row r="1" spans="1:17" x14ac:dyDescent="0.25">
      <c r="A1" s="3">
        <v>1000000000</v>
      </c>
      <c r="C1" t="str" cm="1">
        <f t="array" ref="C1:F1">MID(RIGHT(TEXT(A1,"00000000000000"),7),{1,3,5,6},{2,2,1,2})</f>
        <v>00</v>
      </c>
      <c r="D1" t="str">
        <v>00</v>
      </c>
      <c r="E1" t="str">
        <v>0</v>
      </c>
      <c r="F1" t="str">
        <v>00</v>
      </c>
      <c r="G1" s="2" t="str" cm="1">
        <f t="array" ref="G1">_xlfn.LET(_xlpm.x,A1,
_xlpm.cr,LEFT(TEXT(INT(_xlpm.x),"00000000000000"),7),
_xlpm.lc,RIGHT(TEXT(INT(_xlpm.x),"00000000000000"),7),
_xlpm.dec,ROUND(_xlpm.x-INT(_xlpm.x),2)*100,
_xlpm.c,_xleta.CHOOSECOLS,
_xlpm.digits,{"One","Two","Three","Four","Five","Six","Seven","Eight","Nine","Ten","Eleven","Twelve","Thirteen","Fourteen","Fifteen","Sixteen","Seventeen","Eighteen","Nineteen","Twenty","Twenty One","Twenty Two","Twenty THree","Twenty Four","Twenty Five","Twenty Six","Twenty Seven","Twenty Eight","Twenty Nine","Thirty","Thirty One","Thirty Two","Thirty Three","Thirty Four","Thirty Five","Thirty Six","Thirty Seven","Thirty Eight","Thirty Nine","Fourty","Fourty One","Fourty Two","Fourty Three","Fourty Four","Fourty Five","Fourty Six","Fourty Seven","Fourty Eight","Fourty Nine","Fifty","Fifty One","Fifty Two","Fifty Three","Fifty Four","Fifty Five","Fifty Six","Fifty Seven","Fifty Eight","Fifty Nine","Sixty ","Sixty One","Sixty Two","Sixty Three","Sixty Four","Sixty Five","Sixty Six","Sixty Seven","Sixty Eight","Sixty Nine","Seventy","Seventy One","Seventy Two","Seventy Three","Seventy Four","Seventy Five","Seventy Six","Seventy Seven","Seventy Eight","Seventy Nine","Eighty","Eighty One","Eighty Two","Eighty Three","Eighty Four","Eighty Five","Eighty Six","Eighty Seven","Eighty Eight","Eighty Nine","Ninety","Ninety One","Ninety Two","Ninety Three","Ninety Four","Ninety Five","Ninety Six","Ninety Seven","Ninety Eight","Ninety Nine","One Hundred"},
_xlpm.Tenths,{"Ten","Twenty","Thirty","Fourty","Fifty","Sixty","Seventy","Eighty","Ninety"},
_xlpm.crLc,--MID(_xlpm.cr,1,2),
_xlpm.crThousands,--MID(_xlpm.cr,3,2),
_xlpm.crHundreds,--MID(_xlpm.cr,5,1),
_xlpm.crTens,--MID(_xlpm.cr,6,2),
_xlpm.lakh,--MID(_xlpm.lc,1,2),
_xlpm.thousands,--MID(_xlpm.lc,3,2),
_xlpm.hundreds,--MID(_xlpm.lc,5,1),
_xlpm.tens,--MID(_xlpm.lc,6,2),
_xlpm.Taka,IFERROR(_xlpm.c(_xlpm.digits,_xlpm.crLc) &amp; " Lakh ","") &amp;
IFERROR(_xlpm.c(_xlpm.digits,_xlpm.crThousands) &amp; " Thousand ","") &amp;
IFERROR(_xlpm.c(_xlpm.digits,_xlpm.crHundreds) &amp; " Hundred ","") &amp;
IFERROR(_xlpm.c(_xlpm.digits,_xlpm.crTens),"") &amp; IF(--_xlpm.cr&gt;0," Crore ","") &amp;
IFERROR(_xlpm.c(_xlpm.digits,_xlpm.lakh) &amp; " Lakh ","") &amp;
IFERROR(_xlpm.c(_xlpm.digits,_xlpm.thousands) &amp; " Thousand ","") &amp;
IFERROR(_xlpm.c(_xlpm.digits,_xlpm.hundreds) &amp; " Hundred ","") &amp;
IFERROR(_xlpm.c(_xlpm.digits,_xlpm.tens),""),
_xlpm.Poisa,IFERROR(" Taka And " &amp; _xlpm.c(_xlpm.digits,_xlpm.dec) &amp; " Poisa Only."," Taka Only."),
_xlpm.Taka &amp; _xlpm.Poisa)</f>
        <v>One Hundred  Crore  Taka Only.</v>
      </c>
      <c r="M1">
        <f ca="1">LEN(_xlfn.FORMULATEXT(G5))</f>
        <v>1030</v>
      </c>
      <c r="N1">
        <f ca="1">LEN(_xlfn.FORMULATEXT(K3))</f>
        <v>891</v>
      </c>
    </row>
    <row r="2" spans="1:17" x14ac:dyDescent="0.25">
      <c r="C2" t="str" cm="1">
        <f t="array" ref="C2:F2">MID(LEFT(TEXT(A1,"00000000000000"),7),{1,3,5,6},{2,2,1,2})</f>
        <v>00</v>
      </c>
      <c r="D2" t="str">
        <v>00</v>
      </c>
      <c r="E2" t="str">
        <v>1</v>
      </c>
      <c r="F2" t="str">
        <v>00</v>
      </c>
      <c r="K2" t="s">
        <v>4</v>
      </c>
    </row>
    <row r="3" spans="1:17" x14ac:dyDescent="0.25">
      <c r="G3" s="2" t="str" cm="1">
        <f t="array" ref="G3">_xlfn.LET(_xlpm.x,A1,
_xlpm.cr,LEFT(TEXT(INT(_xlpm.x),"00000000000000"),7),
_xlpm.lc,RIGHT(TEXT(INT(_xlpm.x),"00000000000000"),7),
_xlpm.dec,ROUND(_xlpm.x-INT(_xlpm.x),2)*100,_xlpm.c,_xleta.CHOOSECOLS,
_xlpm.digits,{"One","Two","Three","Four","Five","Six","Seven","Eight","Nine","Ten","Eleven","Twelve","Thirteen","Fourteen","Fifteen","Sixteen","Seventeen","Eighteen","Nineteen"},
_xlpm.Tenths,{"Ten","Twenty","Thirty","Fourty","Fifty","Sixty","Seventy","Eighty","Ninety","Hundred"},
_xlpm.crLc,--MID(_xlpm.cr,1,2),_xlpm.crThousands,--MID(_xlpm.cr,3,2),_xlpm.crHundreds,--MID(_xlpm.cr,5,1),_xlpm.crTens,--MID(_xlpm.cr,6,2),
_xlpm.lakh,--MID(_xlpm.lc,1,2),_xlpm.thousands,--MID(_xlpm.lc,3,2),_xlpm.hundreds,--MID(_xlpm.lc,5,1),_xlpm.tens,--MID(_xlpm.lc,6,2),
_xlpm.Taka,IFERROR(IF(_xlpm.crLc&lt;20,_xlpm.c(_xlpm.digits,_xlpm.crLc) &amp; " Lakh ",_xlpm.c(_xlpm.Tenths,LEFT(_xlpm.crLc,1)) &amp; IFERROR(" " &amp; _xlpm.c(_xlpm.digits,RIGHT(_xlpm.crLc,1)),"") &amp; " Lakh "),"") &amp;
IFERROR(IF(_xlpm.crThousands&lt;20,_xlpm.c(_xlpm.digits,_xlpm.crThousands) &amp; " Thousand ",_xlpm.c(_xlpm.Tenths,LEFT(_xlpm.crThousands,1)) &amp; IFERROR(" " &amp; _xlpm.c(_xlpm.digits,RIGHT(_xlpm.crThousands,1)),"") &amp; " Thousand "),"") &amp;
IFERROR(_xlpm.c(_xlpm.digits,_xlpm.crHundreds) &amp; " Hundred ","") &amp;
IFERROR(IF(_xlpm.crTens&lt;20,_xlpm.c(_xlpm.digits,_xlpm.crTens),_xlpm.c(_xlpm.Tenths,LEFT(_xlpm.crTens,1)) &amp; IFERROR("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IFERROR(" " &amp; _xlpm.c(_xlpm.digits,RIGHT(_xlpm.thousands,1)),"") &amp; " Thousand "),"") &amp;
IFERROR(_xlpm.c(_xlpm.digits,_xlpm.hundreds) &amp; " Hundred ","") &amp;
IFERROR(IF(_xlpm.tens&lt;20,_xlpm.c(_xlpm.digits,_xlpm.tens),_xlpm.c(_xlpm.Tenths,LEFT(_xlpm.tens,1)) &amp; IFERROR(" " &amp; _xlpm.c(_xlpm.digits,RIGHT(_xlpm.tens,1)),"")),""),
_xlpm.Poisa,IFERROR(" Taka And " &amp; IF(_xlpm.dec&lt;20,_xlpm.c(_xlpm.digits,_xlpm.dec),_xlpm.c(_xlpm.Tenths,LEFT(_xlpm.dec,1)) &amp;  IFERROR(" " &amp; _xlpm.c(_xlpm.digits,RIGHT(_xlpm.dec,1)),"")) &amp; " Poisa Only."," Taka Only."),
_xlpm.Taka &amp; _xlpm.Poisa)</f>
        <v>One Hundred  Crore  Taka Only.</v>
      </c>
      <c r="K3" s="5" t="str" cm="1">
        <f t="array" ref="K3">_xlfn.LET(_xlpm.x,A1,_xlpm.lr,TEXT(INT(_xlpm.x),"00000000000000"),_xlpm.cr,LEFT(_xlpm.lr,7),_xlpm.lc,RIGHT(_xlpm.lr,7),_xlpm.dec,ROUND(_xlpm.x-INT(_xlpm.x),2)*100,_xlpm.c,_xleta.CHOOSECOLS,
_xlpm.digits,{"One","Two","Three","Four","Five","Six","Seven","Eight","Nine","Ten","Eleven","Twelve","Thirteen","Fourteen","Fifteen","Sixteen","Seventeen","Eighteen","Nineteen"},
_xlpm.Tenths,{"Ten","Twenty","Thirty","Fourty","Fifty","Sixty","Seventy","Eighty","Ninety","Hundred"},
_xlpm.SPELL,_xlfn.LAMBDA(_xlpm.val,_xlpm.abr,IFERROR(IF(_xlpm.val&lt;20,_xlpm.c(_xlpm.digits,_xlpm.val),_xlpm.c(_xlpm.Tenths,LEFT(_xlpm.val,1)) &amp; IFERROR(" " &amp; _xlpm.c(_xlpm.digits,RIGHT(_xlpm.val,1)),"")) &amp; _xlfn.SWITCH(_xlpm.abr,6," Lakh ",5," Thousand ",3," Hundred ",1," Poisa Only.",""),"")),
_xlpm.Taka,_xlpm.SPELL(--MID(_xlpm.cr,1,2),6) &amp; _xlpm.SPELL(--MID(_xlpm.cr,3,2),5) &amp; _xlpm.SPELL(--MID(_xlpm.cr,5,1),3) &amp; _xlpm.SPELL(--MID(_xlpm.cr,6,2),"") &amp; IF(--_xlpm.cr&gt;0," Crore ","") &amp; _xlpm.SPELL(--MID(_xlpm.lc,1,2),6) &amp; _xlpm.SPELL(--MID(_xlpm.lc,3,2),5) &amp; _xlpm.SPELL(--MID(_xlpm.lc,5,1),3) &amp; _xlpm.SPELL(--MID(_xlpm.lc,6,2),""),
_xlpm.Poisa,IF(_xlpm.dec&lt;=0," Taka Only."," Taka And " &amp; _xlpm.SPELL(_xlpm.dec,1)),TRIM(_xlpm.Taka &amp; _xlpm.Poisa))</f>
        <v>One Hundred Crore Taka Only.</v>
      </c>
      <c r="M3" t="s">
        <v>5</v>
      </c>
    </row>
    <row r="5" spans="1:17" x14ac:dyDescent="0.25">
      <c r="G5" s="4" t="str" cm="1">
        <f t="array" ref="G5">_xlfn.LET(_xlpm.x,A1,
_xlpm.cr,LEFT(TEXT(INT(_xlpm.x),"00000000000000"),7),
_xlpm.lc,RIGHT(TEXT(INT(_xlpm.x),"00000000000000"),7),_xlpm.dec,ROUND(_xlpm.x-INT(_xlpm.x),2)*100,_xlpm.c,_xleta.CHOOSECOLS,
_xlpm.digits,{"One","Two","Three","Four","Five","Six","Seven","Eight","Nine","Ten","Eleven","Twelve","Thirteen","Fourteen","Fifteen","Sixteen","Seventeen","Eighteen","Nineteen"},
_xlpm.Tenths,{"Ten","Twenty","Thirty","Fourty","Fifty","Sixty","Seventy","Eighty","Ninety","Hundred"},
_xlpm.LacCr,--MID(_xlpm.cr,1,2),_xlpm.HazarCr,--MID(_xlpm.cr,3,2),_xlpm.ShotoCr,--MID(_xlpm.cr,5,1),_xlpm.DosokCr,--MID(_xlpm.cr,6,2),
_xlpm.lakh,--MID(_xlpm.lc,1,2),_xlpm.Hazar,--MID(_xlpm.lc,3,2),_xlpm.Shotok,--MID(_xlpm.lc,5,1),_xlpm.Dosok,--MID(_xlpm.lc,6,2),
_xlpm.SPELL,_xlfn.LAMBDA(_xlpm.val,_xlpm.abr,IFERROR(IF(_xlpm.val&lt;20,_xlpm.c(_xlpm.digits,_xlpm.val) &amp; _xlpm.abr,_xlpm.c(_xlpm.Tenths,LEFT(_xlpm.val,1))&amp; IFERROR(" " &amp; _xlpm.c(_xlpm.digits,RIGHT(_xlpm.val,1)),"") &amp; _xlpm.abr),"")),
_xlpm.Taka,_xlpm.SPELL(_xlpm.LacCr, " Lakh ") &amp; _xlpm.SPELL(_xlpm.HazarCr, " Thousand ") &amp; _xlpm.SPELL(_xlpm.ShotoCr, " Hundred ") &amp; _xlpm.SPELL(_xlpm.DosokCr,"") &amp; IF(--_xlpm.cr&gt;0," Crore ","") &amp; _xlpm.SPELL(_xlpm.lakh, " Lakh ") &amp; _xlpm.SPELL(_xlpm.Hazar, " Thousand ") &amp; _xlpm.SPELL(_xlpm.Shotok, " Hundred ") &amp; _xlpm.SPELL(_xlpm.Dosok,""),
_xlpm.Poisa,IF(_xlpm.dec&lt;=0," Taka Only."," Taka And " &amp; _xlpm.SPELL(_xlpm.dec," Poisa Only.")),_xlpm.Taka &amp; _xlpm.Poisa)</f>
        <v>One Hundred  Crore  Taka Only.</v>
      </c>
      <c r="M5" t="s">
        <v>3</v>
      </c>
    </row>
    <row r="7" spans="1:17" x14ac:dyDescent="0.25">
      <c r="G7" t="str" cm="1">
        <f t="array" ref="G7">_xlfn.LAMBDA(_xlpm.num,_xlfn.LET(_xlpm.x,_xlpm.num,_xlpm.cr,LEFT(TEXT(INT(_xlpm.x),"00000000000000"),7),_xlpm.lc,RIGHT(TEXT(INT(_xlpm.x),"00000000000000"),7),_xlpm.dec,ROUND(_xlpm.x-INT(_xlpm.x),2)*100,_xlpm.c,_xleta.CHOOSECOLS,_xlpm.digits,{"One","Two","Three","Four","Five","Six","Seven","Eight","Nine","Ten","Eleven","Twelve","Thirteen","Fourteen","Fifteen","Sixteen","Seventeen","Eighteen","Nineteen"},_xlpm.Tenths,{"Ten","Twenty","Thirty","Fourty","Fifty","Sixty","Seventy","Eighty","Ninety","Hundred"},_xlpm.LacCr,--MID(_xlpm.cr,1,2),_xlpm.HazarCr,--MID(_xlpm.cr,3,2),_xlpm.ShotoCr,--MID(_xlpm.cr,5,1),_xlpm.DosokCr,--MID(_xlpm.cr,6,2),_xlpm.lakh,--MID(_xlpm.lc,1,2),_xlpm.Hazar,--MID(_xlpm.lc,3,2),_xlpm.Shotok,--MID(_xlpm.lc,5,1),_xlpm.Dosok,--MID(_xlpm.lc,6,2),_xlpm.SPELL,_xlfn.LAMBDA(_xlpm.val,_xlpm.abr,IFERROR(IF(_xlpm.val&lt;20,_xlpm.c(_xlpm.digits,_xlpm.val) &amp; _xlpm.abr,_xlpm.c(_xlpm.Tenths,LEFT(_xlpm.val,1)) &amp; " " &amp; _xlpm.c(_xlpm.digits,RIGHT(_xlpm.val,1)) &amp; _xlpm.abr),"")),_xlpm.Taka,_xlpm.SPELL(_xlpm.LacCr, " Lakh ") &amp; _xlpm.SPELL(_xlpm.HazarCr, " Thousand ") &amp; _xlpm.SPELL(_xlpm.ShotoCr, " Hundred ") &amp; _xlpm.SPELL(_xlpm.DosokCr,"") &amp; IF(--_xlpm.cr&gt;0," Crore ","") &amp; _xlpm.SPELL(_xlpm.lakh, " Lakh ") &amp; _xlpm.SPELL(_xlpm.Hazar, " Thousand ") &amp; _xlpm.SPELL(_xlpm.Shotok, " Hundred ") &amp; _xlpm.SPELL(_xlpm.Dosok,""),
_xlpm.Poisa,IF(_xlpm.dec&lt;=0," Taka Only."," Taka And " &amp; _xlpm.SPELL(_xlpm.dec," Poisa Only.")),_xlpm.Taka &amp; _xlpm.Poisa))(A1)</f>
        <v>One Hundred  Crore  Taka Only.</v>
      </c>
    </row>
    <row r="8" spans="1:17" x14ac:dyDescent="0.25">
      <c r="G8" t="str" cm="1">
        <f t="array" ref="G8">TAKAPOISA(A1)</f>
        <v>One Hundred  Crore  Taka Only.</v>
      </c>
    </row>
    <row r="10" spans="1:17" x14ac:dyDescent="0.25">
      <c r="B10">
        <v>9.7799999999999994</v>
      </c>
      <c r="C10" t="str" cm="1">
        <f t="array" ref="C10">TAKAPOISA(B10)</f>
        <v>Nine Taka And Seventy Eight Poisa Only.</v>
      </c>
      <c r="Q10" t="str" cm="1">
        <f t="array" ref="Q10">_xlfn.LET(_xlpm.x,B10,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Taka And Seventy Eight Poisa Only.</v>
      </c>
    </row>
    <row r="11" spans="1:17" x14ac:dyDescent="0.25">
      <c r="B11">
        <v>99</v>
      </c>
      <c r="C11" t="str" cm="1">
        <f t="array" ref="C11">TAKAPOISA(B11)</f>
        <v>Ninety Nine Taka Only.</v>
      </c>
      <c r="Q11" t="str" cm="1">
        <f t="array" ref="Q11">_xlfn.LET(_xlpm.x,B11,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Ninety Nine Taka Only.</v>
      </c>
    </row>
    <row r="12" spans="1:17" x14ac:dyDescent="0.25">
      <c r="B12">
        <v>999</v>
      </c>
      <c r="C12" t="str" cm="1">
        <f t="array" ref="C12">TAKAPOISA(B12)</f>
        <v>Nine Hundred Ninety Nine Taka Only.</v>
      </c>
      <c r="Q12" t="str" cm="1">
        <f t="array" ref="Q12">_xlfn.LET(_xlpm.x,B12,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Hundred Ninety Nine Taka Only.</v>
      </c>
    </row>
    <row r="13" spans="1:17" x14ac:dyDescent="0.25">
      <c r="B13">
        <v>9999</v>
      </c>
      <c r="C13" t="str" cm="1">
        <f t="array" ref="C13">TAKAPOISA(B13)</f>
        <v>Nine Thousand Nine Hundred Ninety Nine Taka Only.</v>
      </c>
      <c r="Q13" t="str" cm="1">
        <f t="array" ref="Q13">_xlfn.LET(_xlpm.x,B13,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Thousand Nine Hundred Ninety Nine Taka Only.</v>
      </c>
    </row>
    <row r="14" spans="1:17" x14ac:dyDescent="0.25">
      <c r="B14">
        <v>99999</v>
      </c>
      <c r="C14" t="str" cm="1">
        <f t="array" ref="C14">TAKAPOISA(B14)</f>
        <v>Ninety Nine Thousand Nine Hundred Ninety Nine Taka Only.</v>
      </c>
      <c r="Q14" t="str" cm="1">
        <f t="array" ref="Q14">_xlfn.LET(_xlpm.x,B14,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Ninety Nine Thousand Nine Hundred Ninety Nine Taka Only.</v>
      </c>
    </row>
    <row r="15" spans="1:17" x14ac:dyDescent="0.25">
      <c r="B15">
        <v>999999</v>
      </c>
      <c r="C15" t="str" cm="1">
        <f t="array" ref="C15">TAKAPOISA(B15)</f>
        <v>Nine Lakh Ninety Nine Thousand Nine Hundred Ninety Nine Taka Only.</v>
      </c>
      <c r="Q15" t="str" cm="1">
        <f t="array" ref="Q15">_xlfn.LET(_xlpm.x,B15,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Lakh Ninety Nine Thousand Nine Hundred Ninety Nine Taka Only.</v>
      </c>
    </row>
    <row r="16" spans="1:17" x14ac:dyDescent="0.25">
      <c r="B16">
        <v>99999999</v>
      </c>
      <c r="C16" t="str" cm="1">
        <f t="array" ref="C16">TAKAPOISA(B16)</f>
        <v>Nine Crore Ninety Nine Lakh Ninety Nine Thousand Nine Hundred Ninety Nine Taka Only.</v>
      </c>
      <c r="Q16" t="str" cm="1">
        <f t="array" ref="Q16">_xlfn.LET(_xlpm.x,B16,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Crore Ninety Nine Lakh Ninety Nine Thousand Nine Hundred Ninety Nine Taka Only.</v>
      </c>
    </row>
    <row r="17" spans="2:17" x14ac:dyDescent="0.25">
      <c r="B17">
        <v>999999999</v>
      </c>
      <c r="C17" t="str" cm="1">
        <f t="array" ref="C17">TAKAPOISA(B17)</f>
        <v>Ninety Nine Crore Ninety Nine Lakh Ninety Nine Thousand Nine Hundred Ninety Nine Taka Only.</v>
      </c>
      <c r="Q17" t="str" cm="1">
        <f t="array" ref="Q17">_xlfn.LET(_xlpm.x,B17,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Ninety Nine Crore Ninety Nine Lakh Ninety Nine Thousand Nine Hundred Ninety Nine Taka Only.</v>
      </c>
    </row>
    <row r="18" spans="2:17" x14ac:dyDescent="0.25">
      <c r="B18">
        <v>9999999999</v>
      </c>
      <c r="C18" t="str" cm="1">
        <f t="array" ref="C18">TAKAPOISA(B18)</f>
        <v>Nine Hundred Ninety Nine Crore Ninety Nine Lakh Ninety Nine Thousand Nine Hundred Ninety Nine Taka Only.</v>
      </c>
      <c r="Q18" t="str" cm="1">
        <f t="array" ref="Q18">_xlfn.LET(_xlpm.x,B18,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Hundred Ninety Nine Crore Ninety Nine Lakh Ninety Nine Thousand Nine Hundred Ninety Nine Taka Only.</v>
      </c>
    </row>
    <row r="19" spans="2:17" x14ac:dyDescent="0.25">
      <c r="B19">
        <v>99999999999</v>
      </c>
      <c r="C19" t="str" cm="1">
        <f t="array" ref="C19">TAKAPOISA(B19)</f>
        <v>Nine Thousand Nine Hundred Ninety Nine Crore Ninety Nine Lakh Ninety Nine Thousand Nine Hundred Ninety Nine Taka Only.</v>
      </c>
      <c r="Q19" t="str" cm="1">
        <f t="array" ref="Q19">_xlfn.LET(_xlpm.x,B19,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Thousand Nine Hundred Ninety Nine Crore Ninety Nine Lakh Ninety Nine Thousand Nine Hundred Ninety Nine Taka Only.</v>
      </c>
    </row>
    <row r="20" spans="2:17" x14ac:dyDescent="0.25">
      <c r="B20" s="1" t="s">
        <v>0</v>
      </c>
      <c r="C20" t="str" cm="1">
        <f t="array" ref="C20">TAKAPOISA(B20)</f>
        <v>Ninety Nine Thousand Nine Hundred Ninety Nine Crore Ninety Nine Lakh Ninety Nine Thousand Nine Hundred Ninety Nine Taka Only.</v>
      </c>
      <c r="Q20" t="str" cm="1">
        <f t="array" ref="Q20">_xlfn.LET(_xlpm.x,B20,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Ninety Nine Thousand Nine Hundred Ninety Nine Crore Ninety Nine Lakh Ninety Nine Thousand Nine Hundred Ninety Nine Taka Only.</v>
      </c>
    </row>
    <row r="21" spans="2:17" x14ac:dyDescent="0.25">
      <c r="B21" s="1" t="s">
        <v>1</v>
      </c>
      <c r="C21" t="str" cm="1">
        <f t="array" ref="C21">TAKAPOISA(B21)</f>
        <v>Nine Lakh Ninety Nine Thousand Nine Hundred Ninety Nine Crore Ninety Nine Lakh Ninety Nine Thousand Nine Hundred Ninety Nine Taka Only.</v>
      </c>
      <c r="Q21" t="str" cm="1">
        <f t="array" ref="Q21">_xlfn.LET(_xlpm.x,B21,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f>
        <v>Nine Lakh Ninety Nine Thousand Nine Hundred Ninety Nine Crore Ninety Nine Lakh Ninety Nine Thousand Nine Hundred Ninety Nine Taka Only.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6A63-F67A-45E4-BCCB-33BE935A1E81}">
  <dimension ref="A1:P16"/>
  <sheetViews>
    <sheetView topLeftCell="A4" workbookViewId="0">
      <selection activeCell="D8" sqref="D8"/>
    </sheetView>
  </sheetViews>
  <sheetFormatPr defaultRowHeight="15" x14ac:dyDescent="0.25"/>
  <cols>
    <col min="2" max="2" width="12" bestFit="1" customWidth="1"/>
  </cols>
  <sheetData>
    <row r="1" spans="1:16" x14ac:dyDescent="0.25">
      <c r="A1">
        <v>111</v>
      </c>
      <c r="D1" t="s">
        <v>2</v>
      </c>
    </row>
    <row r="2" spans="1:16" x14ac:dyDescent="0.25">
      <c r="D2" t="str" cm="1">
        <f t="array" ref="D2">_xlfn.LAMBDA(_xlpm.value,_xlfn.LET(_xlpm.x,_xlpm.value,
_xlpm.cr,LEFT(TEXT(INT(_xlpm.x),"00000000000000"),7),
_xlpm.lc,RIGHT(TEXT(INT(_xlpm.x),"00000000000000"),7),
_xlpm.dec,ROUND(_xlpm.x-INT(_xlpm.x),2)*100,
_xlpm.c,_xleta.CHOOSECOLS,
_xlpm.digits,{"One","Two","Three","Four","Five","Six","Seven","Eight","Nine","Ten","Eleven","Twelve","Thirteen","Fourteen","Fifteen","Sixteen","Seventeen","Eighteen","Nineteen","Twenty","Twenty One","Twenty Two","Twenty THree","Twenty Four","Twenty Five","Twenty Six","Twenty Seven","Twenty Eight","Twenty Nine","Thirty","Thirty One","Thirty Two","Thirty Three","Thirty Four","Thirty Five","Thirty Six","Thirty Seven","Thirty Eight","Thirty Nine","Fourty","Fourty One","Fourty Two","Fourty Three","Fourty Four","Fourty Five","Fourty Six","Fourty Seven","Fourty Eight","Fourty Nine","Fifty","Fifty One","Fifty Two","Fifty Three","Fifty Four","Fifty Five","Fifty Six","Fifty Seven","Fifty Eight","Fifty Nine","Sixty ","Sixty One","Sixty Two","Sixty Three","Sixty Four","Sixty Five","Sixty Six","Sixty Seven","Sixty Eight","Sixty Nine","Seventy","Seventy One","Seventy Two","Seventy Three","Seventy Four","Seventy Five","Seventy Six","Seventy Seven","Seventy Eight","Seventy Nine","Eighty","Eighty One","Eighty Two","Eighty Three","Eighty Four","Eighty Five","Eighty Six","Eighty Seven","Eighty Eight","Eighty Nine","Ninety","Ninety One","Ninety Two","Ninety Three","Ninety Four","Ninety Five","Ninety Six","Ninety Seven","Ninety Eight","Ninety Nine","One Hundred"},
_xlpm.Tenths,{"Ten","Twenty","Thirty","Fourty","Fifty","Sixty","Seventy","Eighty","Ninety"},
_xlpm.crLc,--MID(_xlpm.cr,1,2),
_xlpm.crThousands,--MID(_xlpm.cr,3,2),
_xlpm.crHundreds,--MID(_xlpm.cr,5,1),
_xlpm.crTens,--MID(_xlpm.cr,6,2),
_xlpm.lakh,--MID(_xlpm.lc,1,2),
_xlpm.thousands,--MID(_xlpm.lc,3,2),
_xlpm.hundreds,--MID(_xlpm.lc,5,1),
_xlpm.tens,--MID(_xlpm.lc,6,2),
_xlpm.Taka,IFERROR(_xlpm.c(_xlpm.digits,_xlpm.crLc) &amp; " Lakh","") &amp;
IFERROR(_xlpm.c(_xlpm.digits,_xlpm.crThousands) &amp; "Thousand","") &amp;
IFERROR(_xlpm.c(_xlpm.digits,_xlpm.crHundreds) &amp; " Hundred","") &amp;
IFERROR(_xlpm.c(_xlpm.digits,_xlpm.crTens),"") &amp; IF(--_xlpm.cr&gt;0," Crore ","") &amp;
IFERROR(_xlpm.c(_xlpm.digits,_xlpm.lakh) &amp; " Lakh ","") &amp;
IFERROR(_xlpm.c(_xlpm.digits,_xlpm.thousands) &amp; " Thousand ","") &amp;
IFERROR(_xlpm.c(_xlpm.digits,_xlpm.hundreds) &amp; " Hundred ","") &amp;
IFERROR(_xlpm.c(_xlpm.digits,_xlpm.tens),""),
_xlpm.Poisa,IFERROR(" Taka And " &amp; _xlpm.c(_xlpm.digits,_xlpm.dec) &amp; " Poisa Only."," Taka Only."),
_xlpm.Taka &amp; _xlpm.Poisa))(A1)</f>
        <v>One Hundred Eleven Taka Only.</v>
      </c>
    </row>
    <row r="4" spans="1:16" x14ac:dyDescent="0.25">
      <c r="D4" t="str" cm="1">
        <f t="array" ref="D4">_xlfn.LAMBDA(_xlpm.value,_xlfn.LET(_xlpm.x,_xlpm.value,
_xlpm.cr,LEFT(TEXT(INT(_xlpm.x),"00000000000000"),7),
_xlpm.lc,RIGHT(TEXT(INT(_xlpm.x),"00000000000000"),7),
_xlpm.dec,ROUND(_xlpm.x-INT(_xlpm.x),2)*100,
_xlpm.c,_xleta.CHOOSECOLS,
_xlpm.digits,{"One","Two","Three","Four","Five","Six","Seven","Eight","Nine","Ten","Eleven","Twelve","Thirteen","Fourteen","Fifteen","Sixteen","Seventeen","Eighteen","Nineteen"},
_xlpm.Tenths,{"Ten","Twenty","Thirty","Fourty","Fifty","Sixty","Seventy","Eighty","Ninety","Hundred"},
_xlpm.crLc,--MID(_xlpm.cr,1,2),
_xlpm.crThousands,--MID(_xlpm.cr,3,2),
_xlpm.crHundreds,--MID(_xlpm.cr,5,1),
_xlpm.crTens,--MID(_xlpm.cr,6,2),
_xlpm.lakh,--MID(_xlpm.lc,1,2),
_xlpm.thousands,--MID(_xlpm.lc,3,2),
_xlpm.hundreds,--MID(_xlpm.lc,5,1),
_xlpm.tens,--MID(_xlpm.lc,6,2),
_xlpm.Taka,IFERROR(IF(_xlpm.crLc&lt;20,_xlpm.c(_xlpm.digits,_xlpm.crLc) &amp; " Lakh ",_xlpm.c(_xlpm.Tenths,LEFT(_xlpm.crLc,1)) &amp; " " &amp; _xlpm.c(_xlpm.digits,RIGHT(_xlpm.crLc,1)) &amp; " Lakh "),"") &amp;
IFERROR(IF(_xlpm.crThousands&lt;20,_xlpm.c(_xlpm.digits,_xlpm.crThousands) &amp; " Thousand ",_xlpm.c(_xlpm.Tenths,LEFT(_xlpm.crThousands,1)) &amp; " " &amp; _xlpm.c(_xlpm.digits,RIGHT(_xlpm.crThousands,1)) &amp; " Thousand "),"") &amp;
IFERROR(_xlpm.c(_xlpm.digits,_xlpm.crHundreds) &amp; " Hundred ","") &amp;
IFERROR(IF(_xlpm.crTens&lt;20,_xlpm.c(_xlpm.digits,_xlpm.crTens),_xlpm.c(_xlpm.Tenths,LEFT(_xlpm.crTens,1)) &amp; " " &amp; _xlpm.c(_xlpm.digits,RIGHT(_xlpm.crTens,1))),"") &amp; IF(--_xlpm.cr&gt;0," Crore ","") &amp;
IFERROR(IF(_xlpm.lakh&lt;20,_xlpm.c(_xlpm.digits,_xlpm.lakh) &amp; " Lakh ",_xlpm.c(_xlpm.Tenths,LEFT(_xlpm.lakh,1)) &amp; " " &amp; _xlpm.c(_xlpm.digits,RIGHT(_xlpm.lakh,1)) &amp; " Lakh "),"") &amp;
IFERROR(IF(_xlpm.thousands&lt;20,_xlpm.c(_xlpm.digits,_xlpm.thousands) &amp; " Thousand ",_xlpm.c(_xlpm.Tenths,LEFT(_xlpm.thousands,1)) &amp; " " &amp; _xlpm.c(_xlpm.digits,RIGHT(_xlpm.thousands,1)) &amp; " Thousand "),"") &amp;
IFERROR(_xlpm.c(_xlpm.digits,_xlpm.hundreds) &amp; " Hundred ","") &amp;
IFERROR(IF(_xlpm.tens&lt;20,_xlpm.c(_xlpm.digits,_xlpm.tens),_xlpm.c(_xlpm.Tenths,LEFT(_xlpm.tens,1)) &amp; " " &amp; _xlpm.c(_xlpm.digits,RIGHT(_xlpm.tens,1))),""),
_xlpm.Poisa,IFERROR(" Taka And " &amp; IF(_xlpm.dec&lt;20,_xlpm.c(_xlpm.digits,_xlpm.dec),_xlpm.c(_xlpm.Tenths,LEFT(_xlpm.dec,1)) &amp; " " &amp; _xlpm.c(_xlpm.digits,RIGHT(_xlpm.dec,1))) &amp; " Poisa Only."," Taka Only."),
_xlpm.Taka &amp; _xlpm.Poisa))(A1)</f>
        <v>One Hundred Eleven Taka Only.</v>
      </c>
    </row>
    <row r="6" spans="1:16" x14ac:dyDescent="0.25">
      <c r="B6">
        <v>9</v>
      </c>
      <c r="D6" t="str" cm="1">
        <f t="array" ref="D6">TAKAPOISA(B6)</f>
        <v>Nine Taka Only.</v>
      </c>
    </row>
    <row r="7" spans="1:16" x14ac:dyDescent="0.25">
      <c r="B7">
        <v>99</v>
      </c>
      <c r="D7" t="str" cm="1">
        <f t="array" ref="D7">TAKAPOISA(B7)</f>
        <v>Ninety Nine Taka Only.</v>
      </c>
      <c r="P7" t="str" cm="1">
        <f t="array" ref="P7">NumberToWords(B6)</f>
        <v>Nine Taka Only.</v>
      </c>
    </row>
    <row r="8" spans="1:16" x14ac:dyDescent="0.25">
      <c r="B8">
        <v>999</v>
      </c>
      <c r="D8" t="str" cm="1">
        <f t="array" ref="D8">TAKAPOISA(B8)</f>
        <v>Nine Hundred Ninety Nine Taka Only.</v>
      </c>
      <c r="P8" t="str" cm="1">
        <f t="array" ref="P8">NumberToWords(B7)</f>
        <v>Ninety Nine Taka Only.</v>
      </c>
    </row>
    <row r="9" spans="1:16" x14ac:dyDescent="0.25">
      <c r="B9">
        <v>9999</v>
      </c>
      <c r="D9" t="str" cm="1">
        <f t="array" ref="D9">TAKAPOISA(B9)</f>
        <v>Nine Thousand Nine Hundred Ninety Nine Taka Only.</v>
      </c>
      <c r="P9" t="str" cm="1">
        <f t="array" ref="P9">NumberToWords(B8)</f>
        <v>Nine Hundred Ninety Nine Taka Only.</v>
      </c>
    </row>
    <row r="10" spans="1:16" x14ac:dyDescent="0.25">
      <c r="B10">
        <v>99999</v>
      </c>
      <c r="D10" t="str" cm="1">
        <f t="array" ref="D10">TAKAPOISA(B10)</f>
        <v>Ninety Nine Thousand Nine Hundred Ninety Nine Taka Only.</v>
      </c>
      <c r="P10" t="str" cm="1">
        <f t="array" ref="P10">NumberToWords(B9)</f>
        <v>Nine Thousand Nine Hundred Ninety Nine Taka Only.</v>
      </c>
    </row>
    <row r="11" spans="1:16" x14ac:dyDescent="0.25">
      <c r="B11">
        <v>999999</v>
      </c>
      <c r="D11" t="str" cm="1">
        <f t="array" ref="D11">TAKAPOISA(B11)</f>
        <v>Nine Lakh Ninety Nine Thousand Nine Hundred Ninety Nine Taka Only.</v>
      </c>
      <c r="P11" t="str" cm="1">
        <f t="array" ref="P11">NumberToWords(B10)</f>
        <v>Ninety Nine Thousand Nine Hundred Ninety Nine Taka Only.</v>
      </c>
    </row>
    <row r="12" spans="1:16" x14ac:dyDescent="0.25">
      <c r="B12">
        <v>9999999</v>
      </c>
      <c r="D12" t="str" cm="1">
        <f t="array" ref="D12">TAKAPOISA(B12)</f>
        <v>Ninety Nine Lakh Ninety Nine Thousand Nine Hundred Ninety Nine Taka Only.</v>
      </c>
      <c r="P12" t="str" cm="1">
        <f t="array" ref="P12">NumberToWords(B11)</f>
        <v>Nine Lakh Ninety Nine Thousand Nine Hundred Ninety Nine Taka Only.</v>
      </c>
    </row>
    <row r="13" spans="1:16" x14ac:dyDescent="0.25">
      <c r="B13">
        <v>99999999</v>
      </c>
      <c r="D13" t="str" cm="1">
        <f t="array" ref="D13">TAKAPOISA(B13)</f>
        <v>Nine Crore Ninety Nine Lakh Ninety Nine Thousand Nine Hundred Ninety Nine Taka Only.</v>
      </c>
      <c r="P13" t="str" cm="1">
        <f t="array" ref="P13">NumberToWords(B12)</f>
        <v>Ninety Nine Lakh Ninety Nine Thousand Nine Hundred Ninety Nine Taka Only.</v>
      </c>
    </row>
    <row r="14" spans="1:16" x14ac:dyDescent="0.25">
      <c r="B14">
        <v>999999999</v>
      </c>
      <c r="D14" t="str" cm="1">
        <f t="array" ref="D14">TAKAPOISA(B14)</f>
        <v>Ninety Nine Crore Ninety Nine Lakh Ninety Nine Thousand Nine Hundred Ninety Nine Taka Only.</v>
      </c>
      <c r="P14" t="str" cm="1">
        <f t="array" ref="P14">NumberToWords(B13)</f>
        <v>Nine Crore Ninety Nine Lakh Ninety Nine Thousand Nine Hundred Ninety Nine Taka Only.</v>
      </c>
    </row>
    <row r="15" spans="1:16" x14ac:dyDescent="0.25">
      <c r="B15">
        <v>9999999999</v>
      </c>
      <c r="D15" t="str" cm="1">
        <f t="array" ref="D15">TAKAPOISA(B15)</f>
        <v>Nine Hundred Ninety Nine Crore Ninety Nine Lakh Ninety Nine Thousand Nine Hundred Ninety Nine Taka Only.</v>
      </c>
      <c r="P15" t="str" cm="1">
        <f t="array" ref="P15">NumberToWords(B14)</f>
        <v>Ninety Nine Crore Ninety Nine Lakh Ninety Nine Thousand Nine Hundred Ninety Nine Taka Only.</v>
      </c>
    </row>
    <row r="16" spans="1:16" x14ac:dyDescent="0.25">
      <c r="B16">
        <v>99999999999</v>
      </c>
      <c r="D16" t="str" cm="1">
        <f t="array" ref="D16">TAKAPOISA(B16)</f>
        <v>Nine Thousand Nine Hundred Ninety Nine Crore Ninety Nine Lakh Ninety Nine Thousand Nine Hundred Ninety Nine Taka Only.</v>
      </c>
      <c r="P16" t="str" cm="1">
        <f t="array" ref="P16">NumberToWords(B15)</f>
        <v>Nine Hundred Ninety Nine Crore Ninety Nine Lakh Ninety Nine Thousand Nine Hundred Ninety Nine Taka Only.</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3618-8BB6-417B-B802-3707D7F04A4B}">
  <dimension ref="A1:E1"/>
  <sheetViews>
    <sheetView workbookViewId="0">
      <selection activeCell="E1" sqref="E1"/>
    </sheetView>
  </sheetViews>
  <sheetFormatPr defaultRowHeight="15" x14ac:dyDescent="0.25"/>
  <sheetData>
    <row r="1" spans="1:5" x14ac:dyDescent="0.25">
      <c r="A1">
        <v>12.6</v>
      </c>
      <c r="E1" t="str" cm="1">
        <f t="array" ref="E1">_xlfn.LET(_xlpm.x,A1,_xlpm.cr,LEFT(TEXT(INT(_xlpm.x),"00000000000000"),7),_xlpm.lc,RIGHT(TEXT(INT(_xlpm.x),"00000000000000"),7),_xlpm.dec,ROUND(_xlpm.x-INT(_xlpm.x),2)*100,_xlpm.c,_xleta.CHOOSECOLS,
_xlpm.digits,{"One","Two","Three","Four","Five","Six","Seven","Eight","Nine","Ten","Eleven","Twelve","Thirteen","Fourteen","Fifteen","Sixteen","Seventeen","Eighteen","Nineteen","Twenty","Twenty One","Twenty Two","Twenty THree","Twenty Four","Twenty Five","Twenty Six","Twenty Seven","Twenty Eight","Twenty Nine","Thirty","Thirty One","Thirty Two","Thirty Three","Thirty Four","Thirty Five","Thirty Six","Thirty Seven","Thirty Eight","Thirty Nine","Fourty","Fourty One","Fourty Two","Fourty Three","Fourty Four","Fourty Five","Fourty Six","Fourty Seven","Fourty Eight","Fourty Nine","Fifty","Fifty One","Fifty Two","Fifty Three","Fifty Four","Fifty Five","Fifty Six","Fifty Seven","Fifty Eight","Fifty Nine","Sixty ","Sixty One","Sixty Two","Sixty Three","Sixty Four","Sixty Five","Sixty Six","Sixty Seven","Sixty Eight","Sixty Nine","Seventy","Seventy One","Seventy Two","Seventy Three","Seventy Four","Seventy Five","Seventy Six","Seventy Seven","Seventy Eight","Seventy Nine","Eighty","Eighty One","Eighty Two","Eighty Three","Eighty Four","Eighty Five","Eighty Six","Eighty Seven","Eighty Eight","Eighty Nine","Ninety","Ninety One","Ninety Two","Ninety Three","Ninety Four","Ninety Five","Ninety Six","Ninety Seven","Ninety Eight","Ninety Nine","One Hundred"},
_xlpm.crLc,--MID(_xlpm.cr,1,2),_xlpm.crThousands,--MID(_xlpm.cr,3,2),_xlpm.crHundreds,--MID(_xlpm.cr,5,1),_xlpm.crTens,--MID(_xlpm.cr,6,2),_xlpm.lakh,--MID(_xlpm.lc,1,2),_xlpm.thousands,--MID(_xlpm.lc,3,2),
_xlpm.hundreds,--MID(_xlpm.lc,5,1),_xlpm.tens,--MID(_xlpm.lc,6,2),
_xlpm.SPELL,_xlfn.LAMBDA(_xlpm.val,_xlpm.abr,IFERROR(_xlpm.c(_xlpm.digits,_xlpm.val) &amp; _xlpm.abr,"")),
_xlpm.Taka,_xlpm.SPELL(_xlpm.crLc, " Lakh ") &amp; _xlpm.SPELL(_xlpm.crThousands, " Thousand ") &amp; _xlpm.SPELL(_xlpm.crHundreds, " Hundred ") &amp; _xlpm.SPELL(_xlpm.crTens," ") &amp; IF(--_xlpm.cr&gt;0," Crore ","") &amp; _xlpm.SPELL(_xlpm.lakh, " Lakh ") &amp; _xlpm.SPELL(_xlpm.thousands, " Thousand ") &amp; _xlpm.SPELL(_xlpm.hundreds, " Hundred ") &amp; _xlpm.SPELL(_xlpm.tens," "),
_xlpm.Poisa,IF(_xlpm.dec&lt;=0,IF(INT(_xlpm.x)&gt;0,"Taka Only.",""),"Taka And " &amp; _xlpm.SPELL(_xlpm.dec," Poisa Only.")),_xlpm.Taka &amp; _xlpm.Poisa)</f>
        <v>Twelve Taka And Sixty  Poisa Only.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EB515-BBC8-47EE-8ABA-2470C97F5972}">
  <dimension ref="A2:C16"/>
  <sheetViews>
    <sheetView showGridLines="0" tabSelected="1" topLeftCell="A8" workbookViewId="0">
      <selection activeCell="D16" sqref="D16"/>
    </sheetView>
  </sheetViews>
  <sheetFormatPr defaultRowHeight="15" x14ac:dyDescent="0.25"/>
  <cols>
    <col min="2" max="2" width="19.28515625" style="6" customWidth="1"/>
    <col min="3" max="3" width="16.140625" bestFit="1" customWidth="1"/>
  </cols>
  <sheetData>
    <row r="2" spans="1:3" x14ac:dyDescent="0.25">
      <c r="A2">
        <f>LEN(B2)</f>
        <v>1</v>
      </c>
      <c r="B2" s="6">
        <v>9</v>
      </c>
      <c r="C2" t="str" cm="1">
        <f t="array" ref="C2">_xlfn.LET(_xlpm.x,B2,_xlpm.wd,TEXT(INT(_xlpm.x),"000000000000000"),_xlpm.dec,ROUND(_xlpm.x-INT(_xlpm.x),2)*100,_xlpm.c,_xleta.CHOOSECOLS,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Dollar Only.</v>
      </c>
    </row>
    <row r="3" spans="1:3" x14ac:dyDescent="0.25">
      <c r="A3">
        <f t="shared" ref="A3:A16" si="0">LEN(B3)</f>
        <v>2</v>
      </c>
      <c r="B3" s="6">
        <v>99</v>
      </c>
      <c r="C3" t="str" cm="1">
        <f t="array" ref="C3">_xlfn.LET(_xlpm.x,B3,_xlpm.wd,TEXT(INT(_xlpm.x),"000000000000000"),_xlpm.dec,ROUND(_xlpm.x-INT(_xlpm.x),2)*100,_xlpm.c,_xleta.CHOOSECOLS,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Ninety Nine Dollar Only.</v>
      </c>
    </row>
    <row r="4" spans="1:3" x14ac:dyDescent="0.25">
      <c r="A4">
        <f t="shared" si="0"/>
        <v>3</v>
      </c>
      <c r="B4" s="6">
        <v>999</v>
      </c>
      <c r="C4" t="str" cm="1">
        <f t="array" ref="C4">_xlfn.LET(_xlpm.x,B4,_xlpm.wd,TEXT(INT(_xlpm.x),"000000000000000"),_xlpm.dec,ROUND(_xlpm.x-INT(_xlpm.x),2)*100,_xlpm.c,_xleta.CHOOSECOLS,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Hundred Ninety Nine Dollar Only.</v>
      </c>
    </row>
    <row r="5" spans="1:3" x14ac:dyDescent="0.25">
      <c r="A5">
        <f t="shared" si="0"/>
        <v>7</v>
      </c>
      <c r="B5" s="6">
        <v>9999.15</v>
      </c>
      <c r="C5" t="str" cm="1">
        <f t="array" ref="C5">_xlfn.LET(_xlpm.x,B5,_xlpm.wd,TEXT(INT(_xlpm.x),"000000000000000"),_xlpm.dec,ROUND(_xlpm.x-INT(_xlpm.x),2)*100,_xlpm.c,_xleta.CHOOSECOLS,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Thousand Nine Hundred Ninety Nine Dollar And Fifteen Cent Only.</v>
      </c>
    </row>
    <row r="6" spans="1:3" x14ac:dyDescent="0.25">
      <c r="A6">
        <f t="shared" si="0"/>
        <v>5</v>
      </c>
      <c r="B6" s="6">
        <v>99999</v>
      </c>
      <c r="C6" t="str" cm="1">
        <f t="array" ref="C6">_xlfn.LET(_xlpm.x,B6,_xlpm.wd,TEXT(INT(_xlpm.x),"000000000000000"),_xlpm.dec,ROUND(_xlpm.x-INT(_xlpm.x),2)*100,_xlpm.c,_xleta.CHOOSECOLS,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Ninety Nine Thousand Nine Hundred Ninety Nine Dollar Only.</v>
      </c>
    </row>
    <row r="7" spans="1:3" x14ac:dyDescent="0.25">
      <c r="A7">
        <f t="shared" si="0"/>
        <v>6</v>
      </c>
      <c r="B7" s="6">
        <v>999999</v>
      </c>
      <c r="C7" t="str" cm="1">
        <f t="array" ref="C7">_xlfn.LET(_xlpm.x,B7,_xlpm.wd,TEXT(INT(_xlpm.x),"000000000000000"),_xlpm.dec,ROUND(_xlpm.x-INT(_xlpm.x),2)*100,_xlpm.c,_xleta.CHOOSECOLS,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Hundred Ninety Nine Thousand Nine Hundred Ninety Nine Dollar Only.</v>
      </c>
    </row>
    <row r="8" spans="1:3" x14ac:dyDescent="0.25">
      <c r="A8">
        <f t="shared" si="0"/>
        <v>7</v>
      </c>
      <c r="B8" s="6">
        <v>9999999</v>
      </c>
      <c r="C8" t="str" cm="1">
        <f t="array" ref="C8">_xlfn.LET(_xlpm.x,B8,_xlpm.wd,TEXT(INT(_xlpm.x),"000000000000000"),_xlpm.dec,ROUND(_xlpm.x-INT(_xlpm.x),2)*100,_xlpm.c,_xleta.CHOOSECOLS,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Million Nine Hundred Ninety Nine Thousand Nine Hundred Ninety Nine Dollar Only.</v>
      </c>
    </row>
    <row r="9" spans="1:3" x14ac:dyDescent="0.25">
      <c r="A9">
        <f t="shared" si="0"/>
        <v>8</v>
      </c>
      <c r="B9" s="6">
        <v>99999999</v>
      </c>
      <c r="C9" t="str" cm="1">
        <f t="array" ref="C9">_xlfn.LET(_xlpm.x,B9,_xlpm.wd,TEXT(INT(_xlpm.x),"000000000000000"),_xlpm.dec,ROUND(_xlpm.x-INT(_xlpm.x),2)*100,_xlpm.c,_xleta.CHOOSECOLS,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Ninety Nine Million Nine Hundred Ninety Nine Thousand Nine Hundred Ninety Nine Dollar Only.</v>
      </c>
    </row>
    <row r="10" spans="1:3" x14ac:dyDescent="0.25">
      <c r="A10">
        <f t="shared" si="0"/>
        <v>9</v>
      </c>
      <c r="B10" s="6">
        <v>999999999</v>
      </c>
      <c r="C10" t="str" cm="1">
        <f t="array" ref="C10">_xlfn.LET(_xlpm.x,B10,_xlpm.wd,TEXT(INT(_xlpm.x),"000000000000000"),_xlpm.dec,ROUND(_xlpm.x-INT(_xlpm.x),2)*100,_xlpm.c,_xleta.CHOOSECOLS,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Hundred Ninety Nine Million Nine Hundred Ninety Nine Thousand Nine Hundred Ninety Nine Dollar Only.</v>
      </c>
    </row>
    <row r="11" spans="1:3" x14ac:dyDescent="0.25">
      <c r="A11">
        <f t="shared" si="0"/>
        <v>10</v>
      </c>
      <c r="B11" s="6">
        <v>9999999999</v>
      </c>
      <c r="C11" t="str" cm="1">
        <f t="array" ref="C11">_xlfn.LET(_xlpm.x,B11,_xlpm.wd,TEXT(INT(_xlpm.x),"000000000000000"),_xlpm.dec,ROUND(_xlpm.x-INT(_xlpm.x),2)*100,_xlpm.c,_xleta.CHOOSECOLS,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Billion Nine Hundred Ninety Nine Million Nine Hundred Ninety Nine Thousand Nine Hundred Ninety Nine Dollar Only.</v>
      </c>
    </row>
    <row r="12" spans="1:3" x14ac:dyDescent="0.25">
      <c r="A12">
        <f t="shared" si="0"/>
        <v>11</v>
      </c>
      <c r="B12" s="6">
        <v>99999999999</v>
      </c>
      <c r="C12" t="str" cm="1">
        <f t="array" ref="C12">_xlfn.LET(_xlpm.x,B12,_xlpm.wd,TEXT(INT(_xlpm.x),"000000000000000"),_xlpm.dec,ROUND(_xlpm.x-INT(_xlpm.x),2)*100,_xlpm.c,_xleta.CHOOSECOLS,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Ninety Nine Billion Nine Hundred Ninety Nine Million Nine Hundred Ninety Nine Thousand Nine Hundred Ninety Nine Dollar Only.</v>
      </c>
    </row>
    <row r="13" spans="1:3" x14ac:dyDescent="0.25">
      <c r="A13">
        <f t="shared" si="0"/>
        <v>12</v>
      </c>
      <c r="B13" s="1" t="s">
        <v>0</v>
      </c>
      <c r="C13" t="str" cm="1">
        <f t="array" ref="C13">_xlfn.LET(_xlpm.x,B13,_xlpm.wd,TEXT(INT(_xlpm.x),"000000000000000"),_xlpm.dec,ROUND(_xlpm.x-INT(_xlpm.x),2)*100,_xlpm.c,_xleta.CHOOSECOLS,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Hundred Ninety Nine Billion Nine Hundred Ninety Nine Million Nine Hundred Ninety Nine Thousand Nine Hundred Ninety Nine Dollar Only.</v>
      </c>
    </row>
    <row r="14" spans="1:3" x14ac:dyDescent="0.25">
      <c r="A14">
        <f t="shared" si="0"/>
        <v>13</v>
      </c>
      <c r="B14" s="1" t="s">
        <v>1</v>
      </c>
      <c r="C14" t="str" cm="1">
        <f t="array" ref="C14">_xlfn.LET(_xlpm.x,B14,_xlpm.wd,TEXT(INT(_xlpm.x),"000000000000000"),_xlpm.dec,ROUND(_xlpm.x-INT(_xlpm.x),2)*100,_xlpm.c,_xleta.CHOOSECOLS,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Trillion Nine Hundred Ninety Nine Billion Nine Hundred Ninety Nine Million Nine Hundred Ninety Nine Thousand Nine Hundred Ninety Nine Dollar Only.</v>
      </c>
    </row>
    <row r="15" spans="1:3" x14ac:dyDescent="0.25">
      <c r="A15">
        <f t="shared" si="0"/>
        <v>14</v>
      </c>
      <c r="B15" s="1" t="s">
        <v>6</v>
      </c>
      <c r="C15" t="str" cm="1">
        <f t="array" ref="C15">_xlfn.LET(_xlpm.x,B15,_xlpm.wd,TEXT(INT(_xlpm.x),"000000000000000"),_xlpm.dec,ROUND(_xlpm.x-INT(_xlpm.x),2)*100,_xlpm.c,_xleta.CHOOSECOLS,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Ninety Nine Trillion Nine Hundred Ninety Nine Billion Nine Hundred Ninety Nine Million Nine Hundred Ninety Nine Thousand Nine Hundred Ninety Nine Dollar Only.</v>
      </c>
    </row>
    <row r="16" spans="1:3" x14ac:dyDescent="0.25">
      <c r="A16">
        <f t="shared" si="0"/>
        <v>15</v>
      </c>
      <c r="B16" s="1" t="s">
        <v>7</v>
      </c>
      <c r="C16" t="str" cm="1">
        <f t="array" ref="C16">_xlfn.LET(_xlpm.x,B16,_xlpm.wd,TEXT(INT(_xlpm.x),"000000000000000"),_xlpm.dec,ROUND(_xlpm.x-INT(_xlpm.x),2)*100,_xlpm.c,_xleta.CHOOSECOLS,
_xlpm.digits,{"One","Two","Three","Four","Five","Six","Seven","Eight","Nine","Ten","Eleven","Twelve","Thirteen","Fourteen","Fifteen","Sixteen","Seventeen","Eighteen","Nineteen"},
_xlpm.Tenths,{"Ten","Twenty","Thirty","Fourty","Fifty","Sixty","Seventy","Eighty","Ninety","Hundred"},
_xlpm.tr,--MID(_xlpm.wd,1,3),_xlpm.bln,--MID(_xlpm.wd,4,3),_xlpm.mln,--MID(_xlpm.wd,7,3),_xlpm.Hazar,--MID(_xlpm.wd,10,3),_xlpm.Shotok,--MID(_xlpm.wd,13,1),_xlpm.Dosok,--MID(_xlpm.wd,14,2),
_xlpm.SPELL,_xlfn.LAMBDA(_xlpm.val,_xlpm.abr,IFERROR(IF(_xlpm.val&lt;20,_xlpm.c(_xlpm.digits,_xlpm.val) &amp; _xlpm.abr,_xlpm.c(_xlpm.Tenths,LEFT(_xlpm.val,1))&amp; IFERROR(" " &amp; _xlpm.c(_xlpm.digits,RIGHT(_xlpm.val,1)),"") &amp; _xlpm.abr),"")),
_xlpm.SPELL3,_xlfn.LAMBDA(_xlpm.vl,_xlpm.abb,IF(_xlpm.vl&gt;99,_xlpm.SPELL(--LEFT(_xlpm.vl,1), " Hundred ") &amp; _xlpm.SPELL(--RIGHT(_xlpm.vl,2), _xlpm.abb),_xlpm.SPELL(_xlpm.vl,_xlpm.abb))),
_xlpm.Dollor, _xlpm.SPELL3(_xlpm.tr," Trillion ") &amp; _xlpm.SPELL3(_xlpm.bln, " Billion ") &amp; _xlpm.SPELL3(_xlpm.mln, " Million ") &amp; _xlpm.SPELL3(_xlpm.Hazar," Thousand ")  &amp; _xlpm.SPELL(_xlpm.Shotok, " Hundred ") &amp; _xlpm.SPELL(_xlpm.Dosok,""),
_xlpm.Cent,IF(_xlpm.dec&lt;=0,IF(INT(_xlpm.x)&gt;0," Dollar Only.","")," Dollar And " &amp; _xlpm.SPELL(_xlpm.dec," Cent Only.")),TRIM(_xlpm.Dollor &amp; _xlpm.Cent))</f>
        <v>Nine Hundred Ninety Nine Trillion Nine Hundred Ninety Nine Billion Nine Hundred Ninety Nine Million Nine Hundred Ninety Nine Thousand Nine Hundred Ninety Nine Dollar Only.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ByHarun24HR</vt:lpstr>
      <vt:lpstr>Lambda</vt:lpstr>
      <vt:lpstr>EasyMethod</vt:lpstr>
      <vt:lpstr>Million_Billion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Harun Or Rashid</dc:creator>
  <cp:lastModifiedBy>Md. Harun Or Rashid</cp:lastModifiedBy>
  <dcterms:created xsi:type="dcterms:W3CDTF">2025-07-29T07:52:42Z</dcterms:created>
  <dcterms:modified xsi:type="dcterms:W3CDTF">2025-11-19T02:47:21Z</dcterms:modified>
</cp:coreProperties>
</file>